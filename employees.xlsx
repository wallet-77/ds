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dhe\Downloads\TARUN FOLDER\dv\"/>
    </mc:Choice>
  </mc:AlternateContent>
  <xr:revisionPtr revIDLastSave="0" documentId="13_ncr:1_{5CA27F9F-0219-4074-85C0-81DDCFA065A6}" xr6:coauthVersionLast="47" xr6:coauthVersionMax="47" xr10:uidLastSave="{00000000-0000-0000-0000-000000000000}"/>
  <bookViews>
    <workbookView xWindow="-120" yWindow="-120" windowWidth="21840" windowHeight="13020" tabRatio="500" activeTab="1" xr2:uid="{00000000-000D-0000-FFFF-FFFF00000000}"/>
  </bookViews>
  <sheets>
    <sheet name="mapping" sheetId="3" r:id="rId1"/>
    <sheet name="employees" sheetId="1" r:id="rId2"/>
  </sheets>
  <definedNames>
    <definedName name="ExternalData_1" localSheetId="0" hidden="1">mapping!$A$1:$B$11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F48926-103D-4AFB-A67F-95C0A3C1260E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73EF48B9-8134-40AE-8299-FE81BF067045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<sst xmlns="http://schemas.openxmlformats.org/spreadsheetml/2006/main" count="375" uniqueCount="284">
  <si>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</si>
  <si>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</si>
  <si>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</si>
  <si>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</si>
  <si>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</si>
  <si>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</si>
  <si>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</si>
  <si>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</si>
  <si>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</si>
  <si>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</si>
  <si>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</si>
  <si>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Donald</t>
  </si>
  <si>
    <t>OConnell</t>
  </si>
  <si>
    <t>DOCONNEL</t>
  </si>
  <si>
    <t>650.507.9833</t>
  </si>
  <si>
    <t>21-JUN-07</t>
  </si>
  <si>
    <t>SH_CLERK</t>
  </si>
  <si>
    <t xml:space="preserve"> - </t>
  </si>
  <si>
    <t>Douglas</t>
  </si>
  <si>
    <t>Grant</t>
  </si>
  <si>
    <t>DGRANT</t>
  </si>
  <si>
    <t>650.507.9844</t>
  </si>
  <si>
    <t>13-JAN-08</t>
  </si>
  <si>
    <t>Jennifer</t>
  </si>
  <si>
    <t>Whalen</t>
  </si>
  <si>
    <t>JWHALEN</t>
  </si>
  <si>
    <t>515.123.4444</t>
  </si>
  <si>
    <t>17-SEP-03</t>
  </si>
  <si>
    <t>AD_ASST</t>
  </si>
  <si>
    <t>Michael</t>
  </si>
  <si>
    <t>Hartstein</t>
  </si>
  <si>
    <t>MHARTSTE</t>
  </si>
  <si>
    <t>515.123.5555</t>
  </si>
  <si>
    <t>17-FEB-04</t>
  </si>
  <si>
    <t>MK_MAN</t>
  </si>
  <si>
    <t>Pat</t>
  </si>
  <si>
    <t>Fay</t>
  </si>
  <si>
    <t>PFAY</t>
  </si>
  <si>
    <t>603.123.6666</t>
  </si>
  <si>
    <t>17-AUG-05</t>
  </si>
  <si>
    <t>MK_REP</t>
  </si>
  <si>
    <t>Susan</t>
  </si>
  <si>
    <t>Mavris</t>
  </si>
  <si>
    <t>SMAVRIS</t>
  </si>
  <si>
    <t>515.123.7777</t>
  </si>
  <si>
    <t>07-JUN-02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</si>
  <si>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</si>
  <si>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</si>
  <si>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</si>
  <si>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</si>
  <si>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</si>
  <si>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</si>
  <si>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</si>
  <si>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</si>
  <si>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</si>
  <si>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</si>
  <si>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</si>
  <si>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William</t>
  </si>
  <si>
    <t>Gietz</t>
  </si>
  <si>
    <t>WGIETZ</t>
  </si>
  <si>
    <t>515.123.8181</t>
  </si>
  <si>
    <t>AC_ACCOUNT</t>
  </si>
  <si>
    <t>Steven</t>
  </si>
  <si>
    <t>King</t>
  </si>
  <si>
    <t>SKING</t>
  </si>
  <si>
    <t>515.123.4567</t>
  </si>
  <si>
    <t>17-JUN-03</t>
  </si>
  <si>
    <t>AD_PRES</t>
  </si>
  <si>
    <t>Neena</t>
  </si>
  <si>
    <t>Kochhar</t>
  </si>
  <si>
    <t>NKOCHHAR</t>
  </si>
  <si>
    <t>515.123.4568</t>
  </si>
  <si>
    <t>21-SEP-05</t>
  </si>
  <si>
    <t>AD_VP</t>
  </si>
  <si>
    <t>Lex</t>
  </si>
  <si>
    <t>De Haan</t>
  </si>
  <si>
    <t>LDEHAAN</t>
  </si>
  <si>
    <t>515.123.4569</t>
  </si>
  <si>
    <t>13-JAN-01</t>
  </si>
  <si>
    <t>Alexander</t>
  </si>
  <si>
    <t>Hunold</t>
  </si>
  <si>
    <t>AHUNOLD</t>
  </si>
  <si>
    <t>590.423.4567</t>
  </si>
  <si>
    <t>03-JAN-06</t>
  </si>
  <si>
    <t>IT_PROG</t>
  </si>
  <si>
    <t>Bruce</t>
  </si>
  <si>
    <t>Ernst</t>
  </si>
  <si>
    <t>BERNST</t>
  </si>
  <si>
    <t>590.423.4568</t>
  </si>
  <si>
    <t>21-MAY-07</t>
  </si>
  <si>
    <t>David</t>
  </si>
  <si>
    <t>Austin</t>
  </si>
  <si>
    <t>DAUSTIN</t>
  </si>
  <si>
    <t>590.423.4569</t>
  </si>
  <si>
    <t>25-JUN-05</t>
  </si>
  <si>
    <t>Valli</t>
  </si>
  <si>
    <t>Pataballa</t>
  </si>
  <si>
    <t>VPATABAL</t>
  </si>
  <si>
    <t>590.423.4560</t>
  </si>
  <si>
    <t>05-FEB-06</t>
  </si>
  <si>
    <t>Diana</t>
  </si>
  <si>
    <t>Lorentz</t>
  </si>
  <si>
    <t>DLORENTZ</t>
  </si>
  <si>
    <t>590.423.5567</t>
  </si>
  <si>
    <t>07-FEB-07</t>
  </si>
  <si>
    <t>Nancy</t>
  </si>
  <si>
    <t>Greenberg</t>
  </si>
  <si>
    <t>NGREENBE</t>
  </si>
  <si>
    <t>515.124.4569</t>
  </si>
  <si>
    <t>17-AUG-02</t>
  </si>
  <si>
    <t>FI_MGR</t>
  </si>
  <si>
    <t>Daniel</t>
  </si>
  <si>
    <t>Faviet</t>
  </si>
  <si>
    <t>DFAVIET</t>
  </si>
  <si>
    <t>515.124.4169</t>
  </si>
  <si>
    <t>16-AUG-02</t>
  </si>
  <si>
    <t>FI_ACCOUNT</t>
  </si>
  <si>
    <t>John</t>
  </si>
  <si>
    <t>Chen</t>
  </si>
  <si>
    <t>JCHEN</t>
  </si>
  <si>
    <t>515.124.4269</t>
  </si>
  <si>
    <t>28-SEP-05</t>
  </si>
  <si>
    <t>Ismael</t>
  </si>
  <si>
    <t>Sciarra</t>
  </si>
  <si>
    <t>ISCIARRA</t>
  </si>
  <si>
    <t>515.124.4369</t>
  </si>
  <si>
    <t>30-SEP-05</t>
  </si>
  <si>
    <t>Jose Manuel</t>
  </si>
  <si>
    <t>Urman</t>
  </si>
  <si>
    <t>JMURMAN</t>
  </si>
  <si>
    <t>515.124.4469</t>
  </si>
  <si>
    <t>07-MAR-06</t>
  </si>
  <si>
    <t>Luis</t>
  </si>
  <si>
    <t>Popp</t>
  </si>
  <si>
    <t>LPOPP</t>
  </si>
  <si>
    <t>515.124.4567</t>
  </si>
  <si>
    <t>07-DEC-07</t>
  </si>
  <si>
    <t>Den</t>
  </si>
  <si>
    <t>Raphaely</t>
  </si>
  <si>
    <t>DRAPHEAL</t>
  </si>
  <si>
    <t>515.127.4561</t>
  </si>
  <si>
    <t>07-DEC-02</t>
  </si>
  <si>
    <t>PU_MAN</t>
  </si>
  <si>
    <t>Khoo</t>
  </si>
  <si>
    <t>AKHOO</t>
  </si>
  <si>
    <t>515.127.4562</t>
  </si>
  <si>
    <t>18-MAY-03</t>
  </si>
  <si>
    <t>PU_CLERK</t>
  </si>
  <si>
    <t>Shelli</t>
  </si>
  <si>
    <t>Baida</t>
  </si>
  <si>
    <t>SBAIDA</t>
  </si>
  <si>
    <t>515.127.4563</t>
  </si>
  <si>
    <t>24-DEC-05</t>
  </si>
  <si>
    <t>Sigal</t>
  </si>
  <si>
    <t>Tobias</t>
  </si>
  <si>
    <t>STOBIAS</t>
  </si>
  <si>
    <t>515.127.4564</t>
  </si>
  <si>
    <t>24-JUL-05</t>
  </si>
  <si>
    <t>Guy</t>
  </si>
  <si>
    <t>Himuro</t>
  </si>
  <si>
    <t>GHIMURO</t>
  </si>
  <si>
    <t>515.127.4565</t>
  </si>
  <si>
    <t>15-NOV-06</t>
  </si>
  <si>
    <t>Karen</t>
  </si>
  <si>
    <t>Colmenares</t>
  </si>
  <si>
    <t>KCOLMENA</t>
  </si>
  <si>
    <t>515.127.4566</t>
  </si>
  <si>
    <t>10-AUG-07</t>
  </si>
  <si>
    <t>Matthew</t>
  </si>
  <si>
    <t>Weiss</t>
  </si>
  <si>
    <t>MWEISS</t>
  </si>
  <si>
    <t>650.123.1234</t>
  </si>
  <si>
    <t>18-JUL-04</t>
  </si>
  <si>
    <t>ST_MAN</t>
  </si>
  <si>
    <t>Adam</t>
  </si>
  <si>
    <t>Fripp</t>
  </si>
  <si>
    <t>AFRIPP</t>
  </si>
  <si>
    <t>650.123.2234</t>
  </si>
  <si>
    <t>10-APR-05</t>
  </si>
  <si>
    <t>Payam</t>
  </si>
  <si>
    <t>Kaufling</t>
  </si>
  <si>
    <t>PKAUFLIN</t>
  </si>
  <si>
    <t>650.123.3234</t>
  </si>
  <si>
    <t>01-MAY-03</t>
  </si>
  <si>
    <t>Shanta</t>
  </si>
  <si>
    <t>Vollman</t>
  </si>
  <si>
    <t>SVOLLMAN</t>
  </si>
  <si>
    <t>650.123.4234</t>
  </si>
  <si>
    <t>10-OCT-05</t>
  </si>
  <si>
    <t>Kevin</t>
  </si>
  <si>
    <t>Mourgos</t>
  </si>
  <si>
    <t>KMOURGOS</t>
  </si>
  <si>
    <t>650.123.5234</t>
  </si>
  <si>
    <t>16-NOV-07</t>
  </si>
  <si>
    <t>Julia</t>
  </si>
  <si>
    <t>Nayer</t>
  </si>
  <si>
    <t>JNAYER</t>
  </si>
  <si>
    <t>650.124.1214</t>
  </si>
  <si>
    <t>16-JUL-05</t>
  </si>
  <si>
    <t>ST_CLERK</t>
  </si>
  <si>
    <t>Irene</t>
  </si>
  <si>
    <t>Mikkilineni</t>
  </si>
  <si>
    <t>IMIKKILI</t>
  </si>
  <si>
    <t>650.124.1224</t>
  </si>
  <si>
    <t>28-SEP-06</t>
  </si>
  <si>
    <t>James</t>
  </si>
  <si>
    <t>Landry</t>
  </si>
  <si>
    <t>JLANDRY</t>
  </si>
  <si>
    <t>650.124.1334</t>
  </si>
  <si>
    <t>14-JAN-07</t>
  </si>
  <si>
    <t>Markle</t>
  </si>
  <si>
    <t>SMARKLE</t>
  </si>
  <si>
    <t>650.124.1434</t>
  </si>
  <si>
    <t>08-MAR-08</t>
  </si>
  <si>
    <t>Laura</t>
  </si>
  <si>
    <t>Bissot</t>
  </si>
  <si>
    <t>LBISSOT</t>
  </si>
  <si>
    <t>650.124.5234</t>
  </si>
  <si>
    <t>20-AUG-05</t>
  </si>
  <si>
    <t>Mozhe</t>
  </si>
  <si>
    <t>Atkinson</t>
  </si>
  <si>
    <t>MATKINSO</t>
  </si>
  <si>
    <t>650.124.6234</t>
  </si>
  <si>
    <t>30-OCT-05</t>
  </si>
  <si>
    <t>Marlow</t>
  </si>
  <si>
    <t>JAMRLOW</t>
  </si>
  <si>
    <t>650.124.7234</t>
  </si>
  <si>
    <t>16-FEB-05</t>
  </si>
  <si>
    <t>TJ</t>
  </si>
  <si>
    <t>Olson</t>
  </si>
  <si>
    <t>TJOLSON</t>
  </si>
  <si>
    <t>650.124.8234</t>
  </si>
  <si>
    <t>10-APR-07</t>
  </si>
  <si>
    <t>Jason</t>
  </si>
  <si>
    <t>Mallin</t>
  </si>
  <si>
    <t>JMALLIN</t>
  </si>
  <si>
    <t>650.127.1934</t>
  </si>
  <si>
    <t>14-JUN-04</t>
  </si>
  <si>
    <t>Rogers</t>
  </si>
  <si>
    <t>MROGERS</t>
  </si>
  <si>
    <t>650.127.1834</t>
  </si>
  <si>
    <t>26-AUG-06</t>
  </si>
  <si>
    <t>Ki</t>
  </si>
  <si>
    <t>Gee</t>
  </si>
  <si>
    <t>KGEE</t>
  </si>
  <si>
    <t>650.127.1734</t>
  </si>
  <si>
    <t>12-DEC-07</t>
  </si>
  <si>
    <t>Hazel</t>
  </si>
  <si>
    <t>Philtanker</t>
  </si>
  <si>
    <t>HPHILTAN</t>
  </si>
  <si>
    <t>650.127.1634</t>
  </si>
  <si>
    <t>06-FEB-08</t>
  </si>
  <si>
    <t>Renske</t>
  </si>
  <si>
    <t>Ladwig</t>
  </si>
  <si>
    <t>RLADWIG</t>
  </si>
  <si>
    <t>650.121.1234</t>
  </si>
  <si>
    <t>14-JUL-03</t>
  </si>
  <si>
    <t>Stephen</t>
  </si>
  <si>
    <t>Stiles</t>
  </si>
  <si>
    <t>SSTILES</t>
  </si>
  <si>
    <t>650.121.2034</t>
  </si>
  <si>
    <t>26-OCT-05</t>
  </si>
  <si>
    <t>Seo</t>
  </si>
  <si>
    <t>JSEO</t>
  </si>
  <si>
    <t>650.121.2019</t>
  </si>
  <si>
    <t>12-FEB-06</t>
  </si>
  <si>
    <t>Joshua</t>
  </si>
  <si>
    <t>Patel</t>
  </si>
  <si>
    <t>JPATEL</t>
  </si>
  <si>
    <t>650.121.1834</t>
  </si>
  <si>
    <t>06-APR-06</t>
  </si>
  <si>
    <t>dept name</t>
  </si>
  <si>
    <t>**DEPARTMENT_ID**</t>
  </si>
  <si>
    <t>**Department Name**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</si>
  <si>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</si>
  <si>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</si>
  <si>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</si>
  <si>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</si>
  <si>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</si>
  <si>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</si>
  <si>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</si>
  <si>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Executive</t>
  </si>
  <si>
    <t>Finance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</si>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</sst>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24834BD-F0D1-4E8F-A32F-A6E707862E3B}" autoFormatId="16" applyNumberFormats="0" applyBorderFormats="0" applyFontFormats="0" applyPatternFormats="0" applyAlignmentFormats="0" applyWidthHeightFormats="0">
  <queryTableRefresh nextId="3">
    <queryTableFields count="2">
      <queryTableField id="1" name="**DEPARTMENT_ID**" tableColumnId="1"/>
      <queryTableField id="2" name="**Department Name**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FD458-7C1C-4037-B285-F37408537A54}" name="Sheet1__2" displayName="Sheet1__2" ref="A1:B11" tableType="queryTable" totalsRowShown="0">
  <autoFilter ref="A1:B11" xr:uid="{ED5FD458-7C1C-4037-B285-F37408537A54}"/>
  <tableColumns count="2">
    <tableColumn id="1" xr3:uid="{03FB8BC6-58DA-4A6B-BC57-6BEECA82C80A}" uniqueName="1" name="**DEPARTMENT_ID**" queryTableFieldId="1"/>
    <tableColumn id="2" xr3:uid="{56C736DF-DA0D-4E2D-8A83-C52FBCA6FF7E}" uniqueName="2" name="**Department Name**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03B8-CBB6-457F-9545-4B0FFA1292B3}">
  <dimension ref="A1:B11"/>
  <sheetViews>
    <sheetView workbookViewId="0">
      <selection activeCell="B2" sqref="B2"/>
    </sheetView>
  </sheetViews>
  <sheetFormatPr defaultRowHeight="12.75" x14ac:dyDescent="0.2"/>
  <cols>
    <col min="1" max="1" width="21.85546875" bestFit="1" customWidth="1"/>
    <col min="2" max="2" width="22.85546875" bestFit="1" customWidth="1"/>
  </cols>
  <sheetData>
    <row r="1" spans="1:2" x14ac:dyDescent="0.2">
      <c r="A1" t="s">
        <v>272</v>
      </c>
      <c r="B1" t="s">
        <v>273</v>
      </c>
    </row>
    <row r="2" spans="1:2" x14ac:dyDescent="0.2">
      <c r="A2">
        <v>10</v>
      </c>
      <c r="B2" s="2" t="s">
        <v>274</v>
      </c>
    </row>
    <row r="3" spans="1:2" x14ac:dyDescent="0.2">
      <c r="A3">
        <v>20</v>
      </c>
      <c r="B3" s="2" t="s">
        <v>275</v>
      </c>
    </row>
    <row r="4" spans="1:2" x14ac:dyDescent="0.2">
      <c r="A4">
        <v>30</v>
      </c>
      <c r="B4" s="2" t="s">
        <v>276</v>
      </c>
    </row>
    <row r="5" spans="1:2" x14ac:dyDescent="0.2">
      <c r="A5">
        <v>40</v>
      </c>
      <c r="B5" s="2" t="s">
        <v>277</v>
      </c>
    </row>
    <row r="6" spans="1:2" x14ac:dyDescent="0.2">
      <c r="A6">
        <v>50</v>
      </c>
      <c r="B6" s="2" t="s">
        <v>278</v>
      </c>
    </row>
    <row r="7" spans="1:2" x14ac:dyDescent="0.2">
      <c r="A7">
        <v>60</v>
      </c>
      <c r="B7" s="2" t="s">
        <v>279</v>
      </c>
    </row>
    <row r="8" spans="1:2" x14ac:dyDescent="0.2">
      <c r="A8">
        <v>70</v>
      </c>
      <c r="B8" s="2" t="s">
        <v>280</v>
      </c>
    </row>
    <row r="9" spans="1:2" x14ac:dyDescent="0.2">
      <c r="A9">
        <v>90</v>
      </c>
      <c r="B9" s="2" t="s">
        <v>281</v>
      </c>
    </row>
    <row r="10" spans="1:2" x14ac:dyDescent="0.2">
      <c r="A10">
        <v>100</v>
      </c>
      <c r="B10" s="2" t="s">
        <v>282</v>
      </c>
    </row>
    <row r="11" spans="1:2" x14ac:dyDescent="0.2">
      <c r="A11">
        <v>110</v>
      </c>
      <c r="B11" s="2" t="s">
        <v>283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Normal="100" workbookViewId="0">
      <selection activeCell="M49" sqref="M49"/>
    </sheetView>
  </sheetViews>
  <sheetFormatPr defaultColWidth="11.5703125" defaultRowHeight="12.75" customHeight="1" x14ac:dyDescent="0.2"/>
  <cols>
    <col min="1" max="1" width="14.5703125" customWidth="1"/>
    <col min="2" max="2" width="11.85546875" customWidth="1"/>
    <col min="3" max="3" width="10" customWidth="1"/>
    <col min="5" max="5" width="16.7109375" customWidth="1"/>
    <col min="6" max="6" width="11.7109375" customWidth="1"/>
    <col min="7" max="7" width="13.85546875" customWidth="1"/>
    <col min="8" max="8" width="8.85546875" customWidth="1"/>
    <col min="9" max="9" width="18.140625" customWidth="1"/>
    <col min="10" max="10" width="13.5703125" customWidth="1"/>
    <col min="11" max="11" width="16.855468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271</v>
      </c>
    </row>
    <row r="2" spans="1:12" x14ac:dyDescent="0.2">
      <c r="A2">
        <v>198</v>
      </c>
      <c r="B2" t="s">
        <v>11</v>
      </c>
      <c r="C2" t="s">
        <v>12</v>
      </c>
      <c r="D2" t="s">
        <v>13</v>
      </c>
      <c r="E2" t="s">
        <v>14</v>
      </c>
      <c r="F2" s="1" t="s">
        <v>15</v>
      </c>
      <c r="G2" t="s">
        <v>16</v>
      </c>
      <c r="H2">
        <v>2600</v>
      </c>
      <c r="I2" t="s">
        <v>17</v>
      </c>
      <c r="J2">
        <v>124</v>
      </c>
      <c r="K2">
        <v>50</v>
      </c>
      <c r="L2" t="str">
        <f>VLOOKUP(K2, mapping!A:B, 2, FALSE)</f>
        <v>Shipping</v>
      </c>
    </row>
    <row r="3" spans="1:12" x14ac:dyDescent="0.2">
      <c r="A3">
        <v>199</v>
      </c>
      <c r="B3" t="s">
        <v>18</v>
      </c>
      <c r="C3" t="s">
        <v>19</v>
      </c>
      <c r="D3" t="s">
        <v>20</v>
      </c>
      <c r="E3" t="s">
        <v>21</v>
      </c>
      <c r="F3" s="1" t="s">
        <v>22</v>
      </c>
      <c r="G3" t="s">
        <v>16</v>
      </c>
      <c r="H3">
        <v>2600</v>
      </c>
      <c r="I3" t="s">
        <v>17</v>
      </c>
      <c r="J3">
        <v>124</v>
      </c>
      <c r="K3">
        <v>50</v>
      </c>
      <c r="L3" t="str">
        <f>VLOOKUP(K3, mapping!A:B, 2, FALSE)</f>
        <v>Shipping</v>
      </c>
    </row>
    <row r="4" spans="1:12" x14ac:dyDescent="0.2">
      <c r="A4">
        <v>200</v>
      </c>
      <c r="B4" t="s">
        <v>23</v>
      </c>
      <c r="C4" t="s">
        <v>24</v>
      </c>
      <c r="D4" t="s">
        <v>25</v>
      </c>
      <c r="E4" t="s">
        <v>26</v>
      </c>
      <c r="F4" s="1" t="s">
        <v>27</v>
      </c>
      <c r="G4" t="s">
        <v>28</v>
      </c>
      <c r="H4">
        <v>4400</v>
      </c>
      <c r="I4" t="s">
        <v>17</v>
      </c>
      <c r="J4">
        <v>101</v>
      </c>
      <c r="K4">
        <v>10</v>
      </c>
      <c r="L4" t="str">
        <f>VLOOKUP(K4, mapping!A:B, 2, FALSE)</f>
        <v>Administration</v>
      </c>
    </row>
    <row r="5" spans="1:12" x14ac:dyDescent="0.2">
      <c r="A5">
        <v>201</v>
      </c>
      <c r="B5" t="s">
        <v>29</v>
      </c>
      <c r="C5" t="s">
        <v>30</v>
      </c>
      <c r="D5" t="s">
        <v>31</v>
      </c>
      <c r="E5" t="s">
        <v>32</v>
      </c>
      <c r="F5" s="1" t="s">
        <v>33</v>
      </c>
      <c r="G5" t="s">
        <v>34</v>
      </c>
      <c r="H5">
        <v>13000</v>
      </c>
      <c r="I5" t="s">
        <v>17</v>
      </c>
      <c r="J5">
        <v>100</v>
      </c>
      <c r="K5">
        <v>20</v>
      </c>
      <c r="L5" t="str">
        <f>VLOOKUP(K5, mapping!A:B, 2, FALSE)</f>
        <v>Marketing</v>
      </c>
    </row>
    <row r="6" spans="1:12" x14ac:dyDescent="0.2">
      <c r="A6">
        <v>202</v>
      </c>
      <c r="B6" t="s">
        <v>35</v>
      </c>
      <c r="C6" t="s">
        <v>36</v>
      </c>
      <c r="D6" t="s">
        <v>37</v>
      </c>
      <c r="E6" t="s">
        <v>38</v>
      </c>
      <c r="F6" s="1" t="s">
        <v>39</v>
      </c>
      <c r="G6" t="s">
        <v>40</v>
      </c>
      <c r="H6">
        <v>6000</v>
      </c>
      <c r="I6" t="s">
        <v>17</v>
      </c>
      <c r="J6">
        <v>201</v>
      </c>
      <c r="K6">
        <v>20</v>
      </c>
      <c r="L6" t="str">
        <f>VLOOKUP(K6, mapping!A:B, 2, FALSE)</f>
        <v>Marketing</v>
      </c>
    </row>
    <row r="7" spans="1:12" x14ac:dyDescent="0.2">
      <c r="A7">
        <v>203</v>
      </c>
      <c r="B7" t="s">
        <v>41</v>
      </c>
      <c r="C7" t="s">
        <v>42</v>
      </c>
      <c r="D7" t="s">
        <v>43</v>
      </c>
      <c r="E7" t="s">
        <v>44</v>
      </c>
      <c r="F7" s="1" t="s">
        <v>45</v>
      </c>
      <c r="G7" t="s">
        <v>46</v>
      </c>
      <c r="H7">
        <v>6500</v>
      </c>
      <c r="I7" t="s">
        <v>17</v>
      </c>
      <c r="J7">
        <v>101</v>
      </c>
      <c r="K7">
        <v>40</v>
      </c>
      <c r="L7" t="str">
        <f>VLOOKUP(K7, mapping!A:B, 2, FALSE)</f>
        <v>Human Resources</v>
      </c>
    </row>
    <row r="8" spans="1:12" x14ac:dyDescent="0.2">
      <c r="A8">
        <v>204</v>
      </c>
      <c r="B8" t="s">
        <v>47</v>
      </c>
      <c r="C8" t="s">
        <v>48</v>
      </c>
      <c r="D8" t="s">
        <v>49</v>
      </c>
      <c r="E8" t="s">
        <v>50</v>
      </c>
      <c r="F8" s="1" t="s">
        <v>45</v>
      </c>
      <c r="G8" t="s">
        <v>51</v>
      </c>
      <c r="H8">
        <v>10000</v>
      </c>
      <c r="I8" t="s">
        <v>17</v>
      </c>
      <c r="J8">
        <v>101</v>
      </c>
      <c r="K8">
        <v>70</v>
      </c>
      <c r="L8" t="str">
        <f>VLOOKUP(K8, mapping!A:B, 2, FALSE)</f>
        <v>Public Relations</v>
      </c>
    </row>
    <row r="9" spans="1:12" x14ac:dyDescent="0.2">
      <c r="A9">
        <v>205</v>
      </c>
      <c r="B9" t="s">
        <v>52</v>
      </c>
      <c r="C9" t="s">
        <v>53</v>
      </c>
      <c r="D9" t="s">
        <v>54</v>
      </c>
      <c r="E9" t="s">
        <v>55</v>
      </c>
      <c r="F9" s="1" t="s">
        <v>45</v>
      </c>
      <c r="G9" t="s">
        <v>56</v>
      </c>
      <c r="H9">
        <v>12008</v>
      </c>
      <c r="I9" t="s">
        <v>17</v>
      </c>
      <c r="J9">
        <v>101</v>
      </c>
      <c r="K9">
        <v>110</v>
      </c>
      <c r="L9" t="str">
        <f>VLOOKUP(K9, mapping!A:B, 2, FALSE)</f>
        <v>Accounting</v>
      </c>
    </row>
    <row r="10" spans="1:12" x14ac:dyDescent="0.2">
      <c r="A10">
        <v>206</v>
      </c>
      <c r="B10" t="s">
        <v>57</v>
      </c>
      <c r="C10" t="s">
        <v>58</v>
      </c>
      <c r="D10" t="s">
        <v>59</v>
      </c>
      <c r="E10" t="s">
        <v>60</v>
      </c>
      <c r="F10" s="1" t="s">
        <v>45</v>
      </c>
      <c r="G10" t="s">
        <v>61</v>
      </c>
      <c r="H10">
        <v>8300</v>
      </c>
      <c r="I10" t="s">
        <v>17</v>
      </c>
      <c r="J10">
        <v>205</v>
      </c>
      <c r="K10">
        <v>110</v>
      </c>
      <c r="L10" t="str">
        <f>VLOOKUP(K10, mapping!A:B, 2, FALSE)</f>
        <v>Accounting</v>
      </c>
    </row>
    <row r="11" spans="1:12" x14ac:dyDescent="0.2">
      <c r="A11">
        <v>100</v>
      </c>
      <c r="B11" t="s">
        <v>62</v>
      </c>
      <c r="C11" t="s">
        <v>63</v>
      </c>
      <c r="D11" t="s">
        <v>64</v>
      </c>
      <c r="E11" t="s">
        <v>65</v>
      </c>
      <c r="F11" s="1" t="s">
        <v>66</v>
      </c>
      <c r="G11" t="s">
        <v>67</v>
      </c>
      <c r="H11">
        <v>24000</v>
      </c>
      <c r="I11" t="s">
        <v>17</v>
      </c>
      <c r="J11" t="s">
        <v>17</v>
      </c>
      <c r="K11">
        <v>90</v>
      </c>
      <c r="L11" t="str">
        <f>VLOOKUP(K11, mapping!A:B, 2, FALSE)</f>
        <v>Executive</v>
      </c>
    </row>
    <row r="12" spans="1:12" x14ac:dyDescent="0.2">
      <c r="A12">
        <v>101</v>
      </c>
      <c r="B12" t="s">
        <v>68</v>
      </c>
      <c r="C12" t="s">
        <v>69</v>
      </c>
      <c r="D12" t="s">
        <v>70</v>
      </c>
      <c r="E12" t="s">
        <v>71</v>
      </c>
      <c r="F12" s="1" t="s">
        <v>72</v>
      </c>
      <c r="G12" t="s">
        <v>73</v>
      </c>
      <c r="H12">
        <v>17000</v>
      </c>
      <c r="I12" t="s">
        <v>17</v>
      </c>
      <c r="J12">
        <v>100</v>
      </c>
      <c r="K12">
        <v>90</v>
      </c>
      <c r="L12" t="str">
        <f>VLOOKUP(K12, mapping!A:B, 2, FALSE)</f>
        <v>Executive</v>
      </c>
    </row>
    <row r="13" spans="1:12" x14ac:dyDescent="0.2">
      <c r="A13">
        <v>102</v>
      </c>
      <c r="B13" t="s">
        <v>74</v>
      </c>
      <c r="C13" t="s">
        <v>75</v>
      </c>
      <c r="D13" t="s">
        <v>76</v>
      </c>
      <c r="E13" t="s">
        <v>77</v>
      </c>
      <c r="F13" s="1" t="s">
        <v>78</v>
      </c>
      <c r="G13" t="s">
        <v>73</v>
      </c>
      <c r="H13">
        <v>17000</v>
      </c>
      <c r="I13" t="s">
        <v>17</v>
      </c>
      <c r="J13">
        <v>100</v>
      </c>
      <c r="K13">
        <v>90</v>
      </c>
      <c r="L13" t="str">
        <f>VLOOKUP(K13, mapping!A:B, 2, FALSE)</f>
        <v>Executive</v>
      </c>
    </row>
    <row r="14" spans="1:12" x14ac:dyDescent="0.2">
      <c r="A14">
        <v>103</v>
      </c>
      <c r="B14" t="s">
        <v>79</v>
      </c>
      <c r="C14" t="s">
        <v>80</v>
      </c>
      <c r="D14" t="s">
        <v>81</v>
      </c>
      <c r="E14" t="s">
        <v>82</v>
      </c>
      <c r="F14" s="1" t="s">
        <v>83</v>
      </c>
      <c r="G14" t="s">
        <v>84</v>
      </c>
      <c r="H14">
        <v>9000</v>
      </c>
      <c r="I14" t="s">
        <v>17</v>
      </c>
      <c r="J14">
        <v>102</v>
      </c>
      <c r="K14">
        <v>60</v>
      </c>
      <c r="L14" t="str">
        <f>VLOOKUP(K14, mapping!A:B, 2, FALSE)</f>
        <v>IT</v>
      </c>
    </row>
    <row r="15" spans="1:12" x14ac:dyDescent="0.2">
      <c r="A15">
        <v>104</v>
      </c>
      <c r="B15" t="s">
        <v>85</v>
      </c>
      <c r="C15" t="s">
        <v>86</v>
      </c>
      <c r="D15" t="s">
        <v>87</v>
      </c>
      <c r="E15" t="s">
        <v>88</v>
      </c>
      <c r="F15" s="1" t="s">
        <v>89</v>
      </c>
      <c r="G15" t="s">
        <v>84</v>
      </c>
      <c r="H15">
        <v>6000</v>
      </c>
      <c r="I15" t="s">
        <v>17</v>
      </c>
      <c r="J15">
        <v>103</v>
      </c>
      <c r="K15">
        <v>60</v>
      </c>
      <c r="L15" t="str">
        <f>VLOOKUP(K15, mapping!A:B, 2, FALSE)</f>
        <v>IT</v>
      </c>
    </row>
    <row r="16" spans="1:12" x14ac:dyDescent="0.2">
      <c r="A16">
        <v>105</v>
      </c>
      <c r="B16" t="s">
        <v>90</v>
      </c>
      <c r="C16" t="s">
        <v>91</v>
      </c>
      <c r="D16" t="s">
        <v>92</v>
      </c>
      <c r="E16" t="s">
        <v>93</v>
      </c>
      <c r="F16" s="1" t="s">
        <v>94</v>
      </c>
      <c r="G16" t="s">
        <v>84</v>
      </c>
      <c r="H16">
        <v>4800</v>
      </c>
      <c r="I16" t="s">
        <v>17</v>
      </c>
      <c r="J16">
        <v>103</v>
      </c>
      <c r="K16">
        <v>60</v>
      </c>
      <c r="L16" t="str">
        <f>VLOOKUP(K16, mapping!A:B, 2, FALSE)</f>
        <v>IT</v>
      </c>
    </row>
    <row r="17" spans="1:12" x14ac:dyDescent="0.2">
      <c r="A17">
        <v>106</v>
      </c>
      <c r="B17" t="s">
        <v>95</v>
      </c>
      <c r="C17" t="s">
        <v>96</v>
      </c>
      <c r="D17" t="s">
        <v>97</v>
      </c>
      <c r="E17" t="s">
        <v>98</v>
      </c>
      <c r="F17" s="1" t="s">
        <v>99</v>
      </c>
      <c r="G17" t="s">
        <v>84</v>
      </c>
      <c r="H17">
        <v>4800</v>
      </c>
      <c r="I17" t="s">
        <v>17</v>
      </c>
      <c r="J17">
        <v>103</v>
      </c>
      <c r="K17">
        <v>60</v>
      </c>
      <c r="L17" t="str">
        <f>VLOOKUP(K17, mapping!A:B, 2, FALSE)</f>
        <v>IT</v>
      </c>
    </row>
    <row r="18" spans="1:12" x14ac:dyDescent="0.2">
      <c r="A18">
        <v>107</v>
      </c>
      <c r="B18" t="s">
        <v>100</v>
      </c>
      <c r="C18" t="s">
        <v>101</v>
      </c>
      <c r="D18" t="s">
        <v>102</v>
      </c>
      <c r="E18" t="s">
        <v>103</v>
      </c>
      <c r="F18" s="1" t="s">
        <v>104</v>
      </c>
      <c r="G18" t="s">
        <v>84</v>
      </c>
      <c r="H18">
        <v>4200</v>
      </c>
      <c r="I18" t="s">
        <v>17</v>
      </c>
      <c r="J18">
        <v>103</v>
      </c>
      <c r="K18">
        <v>60</v>
      </c>
      <c r="L18" t="str">
        <f>VLOOKUP(K18, mapping!A:B, 2, FALSE)</f>
        <v>IT</v>
      </c>
    </row>
    <row r="19" spans="1:12" x14ac:dyDescent="0.2">
      <c r="A19">
        <v>108</v>
      </c>
      <c r="B19" t="s">
        <v>105</v>
      </c>
      <c r="C19" t="s">
        <v>106</v>
      </c>
      <c r="D19" t="s">
        <v>107</v>
      </c>
      <c r="E19" t="s">
        <v>108</v>
      </c>
      <c r="F19" s="1" t="s">
        <v>109</v>
      </c>
      <c r="G19" t="s">
        <v>110</v>
      </c>
      <c r="H19">
        <v>12008</v>
      </c>
      <c r="I19" t="s">
        <v>17</v>
      </c>
      <c r="J19">
        <v>101</v>
      </c>
      <c r="K19">
        <v>100</v>
      </c>
      <c r="L19" t="str">
        <f>VLOOKUP(K19, mapping!A:B, 2, FALSE)</f>
        <v>Finance</v>
      </c>
    </row>
    <row r="20" spans="1:12" x14ac:dyDescent="0.2">
      <c r="A20">
        <v>109</v>
      </c>
      <c r="B20" t="s">
        <v>111</v>
      </c>
      <c r="C20" t="s">
        <v>112</v>
      </c>
      <c r="D20" t="s">
        <v>113</v>
      </c>
      <c r="E20" t="s">
        <v>114</v>
      </c>
      <c r="F20" s="1" t="s">
        <v>115</v>
      </c>
      <c r="G20" t="s">
        <v>116</v>
      </c>
      <c r="H20">
        <v>9000</v>
      </c>
      <c r="I20" t="s">
        <v>17</v>
      </c>
      <c r="J20">
        <v>108</v>
      </c>
      <c r="K20">
        <v>100</v>
      </c>
      <c r="L20" t="str">
        <f>VLOOKUP(K20, mapping!A:B, 2, FALSE)</f>
        <v>Finance</v>
      </c>
    </row>
    <row r="21" spans="1:12" x14ac:dyDescent="0.2">
      <c r="A21">
        <v>110</v>
      </c>
      <c r="B21" t="s">
        <v>117</v>
      </c>
      <c r="C21" t="s">
        <v>118</v>
      </c>
      <c r="D21" t="s">
        <v>119</v>
      </c>
      <c r="E21" t="s">
        <v>120</v>
      </c>
      <c r="F21" s="1" t="s">
        <v>121</v>
      </c>
      <c r="G21" t="s">
        <v>116</v>
      </c>
      <c r="H21">
        <v>8200</v>
      </c>
      <c r="I21" t="s">
        <v>17</v>
      </c>
      <c r="J21">
        <v>108</v>
      </c>
      <c r="K21">
        <v>100</v>
      </c>
      <c r="L21" t="str">
        <f>VLOOKUP(K21, mapping!A:B, 2, FALSE)</f>
        <v>Finance</v>
      </c>
    </row>
    <row r="22" spans="1:12" x14ac:dyDescent="0.2">
      <c r="A22">
        <v>111</v>
      </c>
      <c r="B22" t="s">
        <v>122</v>
      </c>
      <c r="C22" t="s">
        <v>123</v>
      </c>
      <c r="D22" t="s">
        <v>124</v>
      </c>
      <c r="E22" t="s">
        <v>125</v>
      </c>
      <c r="F22" s="1" t="s">
        <v>126</v>
      </c>
      <c r="G22" t="s">
        <v>116</v>
      </c>
      <c r="H22">
        <v>7700</v>
      </c>
      <c r="I22" t="s">
        <v>17</v>
      </c>
      <c r="J22">
        <v>108</v>
      </c>
      <c r="K22">
        <v>100</v>
      </c>
      <c r="L22" t="str">
        <f>VLOOKUP(K22, mapping!A:B, 2, FALSE)</f>
        <v>Finance</v>
      </c>
    </row>
    <row r="23" spans="1:12" x14ac:dyDescent="0.2">
      <c r="A23">
        <v>112</v>
      </c>
      <c r="B23" t="s">
        <v>127</v>
      </c>
      <c r="C23" t="s">
        <v>128</v>
      </c>
      <c r="D23" t="s">
        <v>129</v>
      </c>
      <c r="E23" t="s">
        <v>130</v>
      </c>
      <c r="F23" s="1" t="s">
        <v>131</v>
      </c>
      <c r="G23" t="s">
        <v>116</v>
      </c>
      <c r="H23">
        <v>7800</v>
      </c>
      <c r="I23" t="s">
        <v>17</v>
      </c>
      <c r="J23">
        <v>108</v>
      </c>
      <c r="K23">
        <v>100</v>
      </c>
      <c r="L23" t="str">
        <f>VLOOKUP(K23, mapping!A:B, 2, FALSE)</f>
        <v>Finance</v>
      </c>
    </row>
    <row r="24" spans="1:12" x14ac:dyDescent="0.2">
      <c r="A24">
        <v>113</v>
      </c>
      <c r="B24" t="s">
        <v>132</v>
      </c>
      <c r="C24" t="s">
        <v>133</v>
      </c>
      <c r="D24" t="s">
        <v>134</v>
      </c>
      <c r="E24" t="s">
        <v>135</v>
      </c>
      <c r="F24" s="1" t="s">
        <v>136</v>
      </c>
      <c r="G24" t="s">
        <v>116</v>
      </c>
      <c r="H24">
        <v>6900</v>
      </c>
      <c r="I24" t="s">
        <v>17</v>
      </c>
      <c r="J24">
        <v>108</v>
      </c>
      <c r="K24">
        <v>100</v>
      </c>
      <c r="L24" t="str">
        <f>VLOOKUP(K24, mapping!A:B, 2, FALSE)</f>
        <v>Finance</v>
      </c>
    </row>
    <row r="25" spans="1:12" x14ac:dyDescent="0.2">
      <c r="A25">
        <v>114</v>
      </c>
      <c r="B25" t="s">
        <v>137</v>
      </c>
      <c r="C25" t="s">
        <v>138</v>
      </c>
      <c r="D25" t="s">
        <v>139</v>
      </c>
      <c r="E25" t="s">
        <v>140</v>
      </c>
      <c r="F25" s="1" t="s">
        <v>141</v>
      </c>
      <c r="G25" t="s">
        <v>142</v>
      </c>
      <c r="H25">
        <v>11000</v>
      </c>
      <c r="I25" t="s">
        <v>17</v>
      </c>
      <c r="J25">
        <v>100</v>
      </c>
      <c r="K25">
        <v>30</v>
      </c>
      <c r="L25" t="str">
        <f>VLOOKUP(K25, mapping!A:B, 2, FALSE)</f>
        <v>Purchasing</v>
      </c>
    </row>
    <row r="26" spans="1:12" x14ac:dyDescent="0.2">
      <c r="A26">
        <v>115</v>
      </c>
      <c r="B26" t="s">
        <v>79</v>
      </c>
      <c r="C26" t="s">
        <v>143</v>
      </c>
      <c r="D26" t="s">
        <v>144</v>
      </c>
      <c r="E26" t="s">
        <v>145</v>
      </c>
      <c r="F26" s="1" t="s">
        <v>146</v>
      </c>
      <c r="G26" t="s">
        <v>147</v>
      </c>
      <c r="H26">
        <v>3100</v>
      </c>
      <c r="I26" t="s">
        <v>17</v>
      </c>
      <c r="J26">
        <v>114</v>
      </c>
      <c r="K26">
        <v>30</v>
      </c>
      <c r="L26" t="str">
        <f>VLOOKUP(K26, mapping!A:B, 2, FALSE)</f>
        <v>Purchasing</v>
      </c>
    </row>
    <row r="27" spans="1:12" x14ac:dyDescent="0.2">
      <c r="A27">
        <v>116</v>
      </c>
      <c r="B27" t="s">
        <v>148</v>
      </c>
      <c r="C27" t="s">
        <v>149</v>
      </c>
      <c r="D27" t="s">
        <v>150</v>
      </c>
      <c r="E27" t="s">
        <v>151</v>
      </c>
      <c r="F27" s="1" t="s">
        <v>152</v>
      </c>
      <c r="G27" t="s">
        <v>147</v>
      </c>
      <c r="H27">
        <v>2900</v>
      </c>
      <c r="I27" t="s">
        <v>17</v>
      </c>
      <c r="J27">
        <v>114</v>
      </c>
      <c r="K27">
        <v>30</v>
      </c>
      <c r="L27" t="str">
        <f>VLOOKUP(K27, mapping!A:B, 2, FALSE)</f>
        <v>Purchasing</v>
      </c>
    </row>
    <row r="28" spans="1:12" x14ac:dyDescent="0.2">
      <c r="A28">
        <v>117</v>
      </c>
      <c r="B28" t="s">
        <v>153</v>
      </c>
      <c r="C28" t="s">
        <v>154</v>
      </c>
      <c r="D28" t="s">
        <v>155</v>
      </c>
      <c r="E28" t="s">
        <v>156</v>
      </c>
      <c r="F28" s="1" t="s">
        <v>157</v>
      </c>
      <c r="G28" t="s">
        <v>147</v>
      </c>
      <c r="H28">
        <v>2800</v>
      </c>
      <c r="I28" t="s">
        <v>17</v>
      </c>
      <c r="J28">
        <v>114</v>
      </c>
      <c r="K28">
        <v>30</v>
      </c>
      <c r="L28" t="str">
        <f>VLOOKUP(K28, mapping!A:B, 2, FALSE)</f>
        <v>Purchasing</v>
      </c>
    </row>
    <row r="29" spans="1:12" x14ac:dyDescent="0.2">
      <c r="A29">
        <v>118</v>
      </c>
      <c r="B29" t="s">
        <v>158</v>
      </c>
      <c r="C29" t="s">
        <v>159</v>
      </c>
      <c r="D29" t="s">
        <v>160</v>
      </c>
      <c r="E29" t="s">
        <v>161</v>
      </c>
      <c r="F29" s="1" t="s">
        <v>162</v>
      </c>
      <c r="G29" t="s">
        <v>147</v>
      </c>
      <c r="H29">
        <v>2600</v>
      </c>
      <c r="I29" t="s">
        <v>17</v>
      </c>
      <c r="J29">
        <v>114</v>
      </c>
      <c r="K29">
        <v>30</v>
      </c>
      <c r="L29" t="str">
        <f>VLOOKUP(K29, mapping!A:B, 2, FALSE)</f>
        <v>Purchasing</v>
      </c>
    </row>
    <row r="30" spans="1:12" x14ac:dyDescent="0.2">
      <c r="A30">
        <v>119</v>
      </c>
      <c r="B30" t="s">
        <v>163</v>
      </c>
      <c r="C30" t="s">
        <v>164</v>
      </c>
      <c r="D30" t="s">
        <v>165</v>
      </c>
      <c r="E30" t="s">
        <v>166</v>
      </c>
      <c r="F30" s="1" t="s">
        <v>167</v>
      </c>
      <c r="G30" t="s">
        <v>147</v>
      </c>
      <c r="H30">
        <v>2500</v>
      </c>
      <c r="I30" t="s">
        <v>17</v>
      </c>
      <c r="J30">
        <v>114</v>
      </c>
      <c r="K30">
        <v>30</v>
      </c>
      <c r="L30" t="str">
        <f>VLOOKUP(K30, mapping!A:B, 2, FALSE)</f>
        <v>Purchasing</v>
      </c>
    </row>
    <row r="31" spans="1:12" x14ac:dyDescent="0.2">
      <c r="A31">
        <v>120</v>
      </c>
      <c r="B31" t="s">
        <v>168</v>
      </c>
      <c r="C31" t="s">
        <v>169</v>
      </c>
      <c r="D31" t="s">
        <v>170</v>
      </c>
      <c r="E31" t="s">
        <v>171</v>
      </c>
      <c r="F31" s="1" t="s">
        <v>172</v>
      </c>
      <c r="G31" t="s">
        <v>173</v>
      </c>
      <c r="H31">
        <v>8000</v>
      </c>
      <c r="I31" t="s">
        <v>17</v>
      </c>
      <c r="J31">
        <v>100</v>
      </c>
      <c r="K31">
        <v>50</v>
      </c>
      <c r="L31" t="str">
        <f>VLOOKUP(K31, mapping!A:B, 2, FALSE)</f>
        <v>Shipping</v>
      </c>
    </row>
    <row r="32" spans="1:12" x14ac:dyDescent="0.2">
      <c r="A32">
        <v>121</v>
      </c>
      <c r="B32" t="s">
        <v>174</v>
      </c>
      <c r="C32" t="s">
        <v>175</v>
      </c>
      <c r="D32" t="s">
        <v>176</v>
      </c>
      <c r="E32" t="s">
        <v>177</v>
      </c>
      <c r="F32" s="1" t="s">
        <v>178</v>
      </c>
      <c r="G32" t="s">
        <v>173</v>
      </c>
      <c r="H32">
        <v>8200</v>
      </c>
      <c r="I32" t="s">
        <v>17</v>
      </c>
      <c r="J32">
        <v>100</v>
      </c>
      <c r="K32">
        <v>50</v>
      </c>
      <c r="L32" t="str">
        <f>VLOOKUP(K32, mapping!A:B, 2, FALSE)</f>
        <v>Shipping</v>
      </c>
    </row>
    <row r="33" spans="1:12" x14ac:dyDescent="0.2">
      <c r="A33">
        <v>122</v>
      </c>
      <c r="B33" t="s">
        <v>179</v>
      </c>
      <c r="C33" t="s">
        <v>180</v>
      </c>
      <c r="D33" t="s">
        <v>181</v>
      </c>
      <c r="E33" t="s">
        <v>182</v>
      </c>
      <c r="F33" s="1" t="s">
        <v>183</v>
      </c>
      <c r="G33" t="s">
        <v>173</v>
      </c>
      <c r="H33">
        <v>7900</v>
      </c>
      <c r="I33" t="s">
        <v>17</v>
      </c>
      <c r="J33">
        <v>100</v>
      </c>
      <c r="K33">
        <v>50</v>
      </c>
      <c r="L33" t="str">
        <f>VLOOKUP(K33, mapping!A:B, 2, FALSE)</f>
        <v>Shipping</v>
      </c>
    </row>
    <row r="34" spans="1:12" x14ac:dyDescent="0.2">
      <c r="A34">
        <v>123</v>
      </c>
      <c r="B34" t="s">
        <v>184</v>
      </c>
      <c r="C34" t="s">
        <v>185</v>
      </c>
      <c r="D34" t="s">
        <v>186</v>
      </c>
      <c r="E34" t="s">
        <v>187</v>
      </c>
      <c r="F34" s="1" t="s">
        <v>188</v>
      </c>
      <c r="G34" t="s">
        <v>173</v>
      </c>
      <c r="H34">
        <v>6500</v>
      </c>
      <c r="I34" t="s">
        <v>17</v>
      </c>
      <c r="J34">
        <v>100</v>
      </c>
      <c r="K34">
        <v>50</v>
      </c>
      <c r="L34" t="str">
        <f>VLOOKUP(K34, mapping!A:B, 2, FALSE)</f>
        <v>Shipping</v>
      </c>
    </row>
    <row r="35" spans="1:12" x14ac:dyDescent="0.2">
      <c r="A35">
        <v>124</v>
      </c>
      <c r="B35" t="s">
        <v>189</v>
      </c>
      <c r="C35" t="s">
        <v>190</v>
      </c>
      <c r="D35" t="s">
        <v>191</v>
      </c>
      <c r="E35" t="s">
        <v>192</v>
      </c>
      <c r="F35" s="1" t="s">
        <v>193</v>
      </c>
      <c r="G35" t="s">
        <v>173</v>
      </c>
      <c r="H35">
        <v>5800</v>
      </c>
      <c r="I35" t="s">
        <v>17</v>
      </c>
      <c r="J35">
        <v>100</v>
      </c>
      <c r="K35">
        <v>50</v>
      </c>
      <c r="L35" t="str">
        <f>VLOOKUP(K35, mapping!A:B, 2, FALSE)</f>
        <v>Shipping</v>
      </c>
    </row>
    <row r="36" spans="1:12" x14ac:dyDescent="0.2">
      <c r="A36">
        <v>125</v>
      </c>
      <c r="B36" t="s">
        <v>194</v>
      </c>
      <c r="C36" t="s">
        <v>195</v>
      </c>
      <c r="D36" t="s">
        <v>196</v>
      </c>
      <c r="E36" t="s">
        <v>197</v>
      </c>
      <c r="F36" s="1" t="s">
        <v>198</v>
      </c>
      <c r="G36" t="s">
        <v>199</v>
      </c>
      <c r="H36">
        <v>3200</v>
      </c>
      <c r="I36" t="s">
        <v>17</v>
      </c>
      <c r="J36">
        <v>120</v>
      </c>
      <c r="K36">
        <v>50</v>
      </c>
      <c r="L36" t="str">
        <f>VLOOKUP(K36, mapping!A:B, 2, FALSE)</f>
        <v>Shipping</v>
      </c>
    </row>
    <row r="37" spans="1:12" x14ac:dyDescent="0.2">
      <c r="A37">
        <v>126</v>
      </c>
      <c r="B37" t="s">
        <v>200</v>
      </c>
      <c r="C37" t="s">
        <v>201</v>
      </c>
      <c r="D37" t="s">
        <v>202</v>
      </c>
      <c r="E37" t="s">
        <v>203</v>
      </c>
      <c r="F37" s="1" t="s">
        <v>204</v>
      </c>
      <c r="G37" t="s">
        <v>199</v>
      </c>
      <c r="H37">
        <v>2700</v>
      </c>
      <c r="I37" t="s">
        <v>17</v>
      </c>
      <c r="J37">
        <v>120</v>
      </c>
      <c r="K37">
        <v>50</v>
      </c>
      <c r="L37" t="str">
        <f>VLOOKUP(K37, mapping!A:B, 2, FALSE)</f>
        <v>Shipping</v>
      </c>
    </row>
    <row r="38" spans="1:12" x14ac:dyDescent="0.2">
      <c r="A38">
        <v>127</v>
      </c>
      <c r="B38" t="s">
        <v>205</v>
      </c>
      <c r="C38" t="s">
        <v>206</v>
      </c>
      <c r="D38" t="s">
        <v>207</v>
      </c>
      <c r="E38" t="s">
        <v>208</v>
      </c>
      <c r="F38" s="1" t="s">
        <v>209</v>
      </c>
      <c r="G38" t="s">
        <v>199</v>
      </c>
      <c r="H38">
        <v>2400</v>
      </c>
      <c r="I38" t="s">
        <v>17</v>
      </c>
      <c r="J38">
        <v>120</v>
      </c>
      <c r="K38">
        <v>50</v>
      </c>
      <c r="L38" t="str">
        <f>VLOOKUP(K38, mapping!A:B, 2, FALSE)</f>
        <v>Shipping</v>
      </c>
    </row>
    <row r="39" spans="1:12" x14ac:dyDescent="0.2">
      <c r="A39">
        <v>128</v>
      </c>
      <c r="B39" t="s">
        <v>62</v>
      </c>
      <c r="C39" t="s">
        <v>210</v>
      </c>
      <c r="D39" t="s">
        <v>211</v>
      </c>
      <c r="E39" t="s">
        <v>212</v>
      </c>
      <c r="F39" s="1" t="s">
        <v>213</v>
      </c>
      <c r="G39" t="s">
        <v>199</v>
      </c>
      <c r="H39">
        <v>2200</v>
      </c>
      <c r="I39" t="s">
        <v>17</v>
      </c>
      <c r="J39">
        <v>120</v>
      </c>
      <c r="K39">
        <v>50</v>
      </c>
      <c r="L39" t="str">
        <f>VLOOKUP(K39, mapping!A:B, 2, FALSE)</f>
        <v>Shipping</v>
      </c>
    </row>
    <row r="40" spans="1:12" x14ac:dyDescent="0.2">
      <c r="A40">
        <v>129</v>
      </c>
      <c r="B40" t="s">
        <v>214</v>
      </c>
      <c r="C40" t="s">
        <v>215</v>
      </c>
      <c r="D40" t="s">
        <v>216</v>
      </c>
      <c r="E40" t="s">
        <v>217</v>
      </c>
      <c r="F40" s="1" t="s">
        <v>218</v>
      </c>
      <c r="G40" t="s">
        <v>199</v>
      </c>
      <c r="H40">
        <v>3300</v>
      </c>
      <c r="I40" t="s">
        <v>17</v>
      </c>
      <c r="J40">
        <v>121</v>
      </c>
      <c r="K40">
        <v>50</v>
      </c>
      <c r="L40" t="str">
        <f>VLOOKUP(K40, mapping!A:B, 2, FALSE)</f>
        <v>Shipping</v>
      </c>
    </row>
    <row r="41" spans="1:12" x14ac:dyDescent="0.2">
      <c r="A41">
        <v>130</v>
      </c>
      <c r="B41" t="s">
        <v>219</v>
      </c>
      <c r="C41" t="s">
        <v>220</v>
      </c>
      <c r="D41" t="s">
        <v>221</v>
      </c>
      <c r="E41" t="s">
        <v>222</v>
      </c>
      <c r="F41" s="1" t="s">
        <v>223</v>
      </c>
      <c r="G41" t="s">
        <v>199</v>
      </c>
      <c r="H41">
        <v>2800</v>
      </c>
      <c r="I41" t="s">
        <v>17</v>
      </c>
      <c r="J41">
        <v>121</v>
      </c>
      <c r="K41">
        <v>50</v>
      </c>
      <c r="L41" t="str">
        <f>VLOOKUP(K41, mapping!A:B, 2, FALSE)</f>
        <v>Shipping</v>
      </c>
    </row>
    <row r="42" spans="1:12" x14ac:dyDescent="0.2">
      <c r="A42">
        <v>131</v>
      </c>
      <c r="B42" t="s">
        <v>205</v>
      </c>
      <c r="C42" t="s">
        <v>224</v>
      </c>
      <c r="D42" t="s">
        <v>225</v>
      </c>
      <c r="E42" t="s">
        <v>226</v>
      </c>
      <c r="F42" s="1" t="s">
        <v>227</v>
      </c>
      <c r="G42" t="s">
        <v>199</v>
      </c>
      <c r="H42">
        <v>2500</v>
      </c>
      <c r="I42" t="s">
        <v>17</v>
      </c>
      <c r="J42">
        <v>121</v>
      </c>
      <c r="K42">
        <v>50</v>
      </c>
      <c r="L42" t="str">
        <f>VLOOKUP(K42, mapping!A:B, 2, FALSE)</f>
        <v>Shipping</v>
      </c>
    </row>
    <row r="43" spans="1:12" x14ac:dyDescent="0.2">
      <c r="A43">
        <v>132</v>
      </c>
      <c r="B43" t="s">
        <v>228</v>
      </c>
      <c r="C43" t="s">
        <v>229</v>
      </c>
      <c r="D43" t="s">
        <v>230</v>
      </c>
      <c r="E43" t="s">
        <v>231</v>
      </c>
      <c r="F43" s="1" t="s">
        <v>232</v>
      </c>
      <c r="G43" t="s">
        <v>199</v>
      </c>
      <c r="H43">
        <v>2100</v>
      </c>
      <c r="I43" t="s">
        <v>17</v>
      </c>
      <c r="J43">
        <v>121</v>
      </c>
      <c r="K43">
        <v>50</v>
      </c>
      <c r="L43" t="str">
        <f>VLOOKUP(K43, mapping!A:B, 2, FALSE)</f>
        <v>Shipping</v>
      </c>
    </row>
    <row r="44" spans="1:12" x14ac:dyDescent="0.2">
      <c r="A44">
        <v>133</v>
      </c>
      <c r="B44" t="s">
        <v>233</v>
      </c>
      <c r="C44" t="s">
        <v>234</v>
      </c>
      <c r="D44" t="s">
        <v>235</v>
      </c>
      <c r="E44" t="s">
        <v>236</v>
      </c>
      <c r="F44" s="1" t="s">
        <v>237</v>
      </c>
      <c r="G44" t="s">
        <v>199</v>
      </c>
      <c r="H44">
        <v>3300</v>
      </c>
      <c r="I44" t="s">
        <v>17</v>
      </c>
      <c r="J44">
        <v>122</v>
      </c>
      <c r="K44">
        <v>50</v>
      </c>
      <c r="L44" t="str">
        <f>VLOOKUP(K44, mapping!A:B, 2, FALSE)</f>
        <v>Shipping</v>
      </c>
    </row>
    <row r="45" spans="1:12" x14ac:dyDescent="0.2">
      <c r="A45">
        <v>134</v>
      </c>
      <c r="B45" t="s">
        <v>29</v>
      </c>
      <c r="C45" t="s">
        <v>238</v>
      </c>
      <c r="D45" t="s">
        <v>239</v>
      </c>
      <c r="E45" t="s">
        <v>240</v>
      </c>
      <c r="F45" s="1" t="s">
        <v>241</v>
      </c>
      <c r="G45" t="s">
        <v>199</v>
      </c>
      <c r="H45">
        <v>2900</v>
      </c>
      <c r="I45" t="s">
        <v>17</v>
      </c>
      <c r="J45">
        <v>122</v>
      </c>
      <c r="K45">
        <v>50</v>
      </c>
      <c r="L45" t="str">
        <f>VLOOKUP(K45, mapping!A:B, 2, FALSE)</f>
        <v>Shipping</v>
      </c>
    </row>
    <row r="46" spans="1:12" x14ac:dyDescent="0.2">
      <c r="A46">
        <v>135</v>
      </c>
      <c r="B46" t="s">
        <v>242</v>
      </c>
      <c r="C46" t="s">
        <v>243</v>
      </c>
      <c r="D46" t="s">
        <v>244</v>
      </c>
      <c r="E46" t="s">
        <v>245</v>
      </c>
      <c r="F46" s="1" t="s">
        <v>246</v>
      </c>
      <c r="G46" t="s">
        <v>199</v>
      </c>
      <c r="H46">
        <v>2400</v>
      </c>
      <c r="I46" t="s">
        <v>17</v>
      </c>
      <c r="J46">
        <v>122</v>
      </c>
      <c r="K46">
        <v>50</v>
      </c>
      <c r="L46" t="str">
        <f>VLOOKUP(K46, mapping!A:B, 2, FALSE)</f>
        <v>Shipping</v>
      </c>
    </row>
    <row r="47" spans="1:12" x14ac:dyDescent="0.2">
      <c r="A47">
        <v>136</v>
      </c>
      <c r="B47" t="s">
        <v>247</v>
      </c>
      <c r="C47" t="s">
        <v>248</v>
      </c>
      <c r="D47" t="s">
        <v>249</v>
      </c>
      <c r="E47" t="s">
        <v>250</v>
      </c>
      <c r="F47" s="1" t="s">
        <v>251</v>
      </c>
      <c r="G47" t="s">
        <v>199</v>
      </c>
      <c r="H47">
        <v>2200</v>
      </c>
      <c r="I47" t="s">
        <v>17</v>
      </c>
      <c r="J47">
        <v>122</v>
      </c>
      <c r="K47">
        <v>50</v>
      </c>
      <c r="L47" t="str">
        <f>VLOOKUP(K47, mapping!A:B, 2, FALSE)</f>
        <v>Shipping</v>
      </c>
    </row>
    <row r="48" spans="1:12" x14ac:dyDescent="0.2">
      <c r="A48">
        <v>137</v>
      </c>
      <c r="B48" t="s">
        <v>252</v>
      </c>
      <c r="C48" t="s">
        <v>253</v>
      </c>
      <c r="D48" t="s">
        <v>254</v>
      </c>
      <c r="E48" t="s">
        <v>255</v>
      </c>
      <c r="F48" s="1" t="s">
        <v>256</v>
      </c>
      <c r="G48" t="s">
        <v>199</v>
      </c>
      <c r="H48">
        <v>3600</v>
      </c>
      <c r="I48" t="s">
        <v>17</v>
      </c>
      <c r="J48">
        <v>123</v>
      </c>
      <c r="K48">
        <v>50</v>
      </c>
      <c r="L48" t="str">
        <f>VLOOKUP(K48, mapping!A:B, 2, FALSE)</f>
        <v>Shipping</v>
      </c>
    </row>
    <row r="49" spans="1:12" x14ac:dyDescent="0.2">
      <c r="A49">
        <v>138</v>
      </c>
      <c r="B49" t="s">
        <v>257</v>
      </c>
      <c r="C49" t="s">
        <v>258</v>
      </c>
      <c r="D49" t="s">
        <v>259</v>
      </c>
      <c r="E49" t="s">
        <v>260</v>
      </c>
      <c r="F49" s="1" t="s">
        <v>261</v>
      </c>
      <c r="G49" t="s">
        <v>199</v>
      </c>
      <c r="H49">
        <v>3200</v>
      </c>
      <c r="I49" t="s">
        <v>17</v>
      </c>
      <c r="J49">
        <v>123</v>
      </c>
      <c r="K49">
        <v>50</v>
      </c>
      <c r="L49" t="str">
        <f>VLOOKUP(K49, mapping!A:B, 2, FALSE)</f>
        <v>Shipping</v>
      </c>
    </row>
    <row r="50" spans="1:12" x14ac:dyDescent="0.2">
      <c r="A50">
        <v>139</v>
      </c>
      <c r="B50" t="s">
        <v>117</v>
      </c>
      <c r="C50" t="s">
        <v>262</v>
      </c>
      <c r="D50" t="s">
        <v>263</v>
      </c>
      <c r="E50" t="s">
        <v>264</v>
      </c>
      <c r="F50" s="1" t="s">
        <v>265</v>
      </c>
      <c r="G50" t="s">
        <v>199</v>
      </c>
      <c r="H50">
        <v>2700</v>
      </c>
      <c r="I50" t="s">
        <v>17</v>
      </c>
      <c r="J50">
        <v>123</v>
      </c>
      <c r="K50">
        <v>50</v>
      </c>
      <c r="L50" t="str">
        <f>VLOOKUP(K50, mapping!A:B, 2, FALSE)</f>
        <v>Shipping</v>
      </c>
    </row>
    <row r="51" spans="1:12" x14ac:dyDescent="0.2">
      <c r="A51">
        <v>140</v>
      </c>
      <c r="B51" t="s">
        <v>266</v>
      </c>
      <c r="C51" t="s">
        <v>267</v>
      </c>
      <c r="D51" t="s">
        <v>268</v>
      </c>
      <c r="E51" t="s">
        <v>269</v>
      </c>
      <c r="F51" s="1" t="s">
        <v>270</v>
      </c>
      <c r="G51" t="s">
        <v>199</v>
      </c>
      <c r="H51">
        <v>2500</v>
      </c>
      <c r="I51" t="s">
        <v>17</v>
      </c>
      <c r="J51">
        <v>123</v>
      </c>
      <c r="K51">
        <v>50</v>
      </c>
      <c r="L51" t="str">
        <f>VLOOKUP(K51, mapping!A:B, 2, FALSE)</f>
        <v>Shipping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53F31-4C5D-4EC5-BDAD-8200DB6A03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Tarun Aditya</cp:lastModifiedBy>
  <cp:revision>0</cp:revision>
  <dcterms:modified xsi:type="dcterms:W3CDTF">2025-12-01T08:13:54Z</dcterms:modified>
  <dc:language>en-US</dc:language>
</cp:coreProperties>
</file>